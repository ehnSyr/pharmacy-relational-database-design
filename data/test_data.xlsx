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le\Desktop\Learning\Syracuse\IST 659 DB\Group Project\"/>
    </mc:Choice>
  </mc:AlternateContent>
  <xr:revisionPtr revIDLastSave="0" documentId="13_ncr:1_{0DB6ABFD-60C9-4176-A7EF-841B65274CEE}" xr6:coauthVersionLast="47" xr6:coauthVersionMax="47" xr10:uidLastSave="{00000000-0000-0000-0000-000000000000}"/>
  <bookViews>
    <workbookView xWindow="-98" yWindow="-98" windowWidth="21795" windowHeight="13875" firstSheet="2" activeTab="8" xr2:uid="{C2E00E1A-D3D2-4133-ACE6-B03AF7855737}"/>
  </bookViews>
  <sheets>
    <sheet name="Patient Insurance" sheetId="8" r:id="rId1"/>
    <sheet name="Drug" sheetId="1" r:id="rId2"/>
    <sheet name="Patient" sheetId="3" r:id="rId3"/>
    <sheet name="Insurance" sheetId="5" r:id="rId4"/>
    <sheet name="Pharmacy" sheetId="6" r:id="rId5"/>
    <sheet name="Inventory" sheetId="4" r:id="rId6"/>
    <sheet name="Order" sheetId="2" r:id="rId7"/>
    <sheet name="Order Detail" sheetId="9" r:id="rId8"/>
    <sheet name="Insurance Lookup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3" i="4"/>
  <c r="D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</calcChain>
</file>

<file path=xl/sharedStrings.xml><?xml version="1.0" encoding="utf-8"?>
<sst xmlns="http://schemas.openxmlformats.org/spreadsheetml/2006/main" count="126" uniqueCount="96">
  <si>
    <t>drug_name</t>
  </si>
  <si>
    <t>drug_id</t>
  </si>
  <si>
    <t>drug_code</t>
  </si>
  <si>
    <t>drug_type</t>
  </si>
  <si>
    <t>drug_dosage</t>
  </si>
  <si>
    <t>drug_pack_quantity</t>
  </si>
  <si>
    <t>drug_generic_indicator</t>
  </si>
  <si>
    <t>drug_otc_indicator</t>
  </si>
  <si>
    <t>drug_price</t>
  </si>
  <si>
    <t>drug_uses</t>
  </si>
  <si>
    <t>order_number</t>
  </si>
  <si>
    <t>order_date_filled</t>
  </si>
  <si>
    <t>order_insurance_used</t>
  </si>
  <si>
    <t>order_item_code</t>
  </si>
  <si>
    <t>order_item_quantity</t>
  </si>
  <si>
    <t>order_cost</t>
  </si>
  <si>
    <t>next_available</t>
  </si>
  <si>
    <t>patient_id</t>
  </si>
  <si>
    <t>patient_address</t>
  </si>
  <si>
    <t>patient_dob</t>
  </si>
  <si>
    <t>patient_email</t>
  </si>
  <si>
    <t>patient_phone_number</t>
  </si>
  <si>
    <t>patient_ssn</t>
  </si>
  <si>
    <t>inventory_quantity</t>
  </si>
  <si>
    <t>inventory_available_indicator</t>
  </si>
  <si>
    <t>inventory_expiration</t>
  </si>
  <si>
    <t>insurance_name</t>
  </si>
  <si>
    <t>insurance_id</t>
  </si>
  <si>
    <t>order_item_numer</t>
  </si>
  <si>
    <t>pharmacy_id</t>
  </si>
  <si>
    <t>insurance_type</t>
  </si>
  <si>
    <t>insurance_copay</t>
  </si>
  <si>
    <t>insurance_coverage_amount</t>
  </si>
  <si>
    <t>insurance_perscription_code</t>
  </si>
  <si>
    <t>insurance_docter_prescribed_indicator</t>
  </si>
  <si>
    <t>pharmacy_location_number</t>
  </si>
  <si>
    <t>pharmacy_location_address</t>
  </si>
  <si>
    <t>pharmacy_accepted_insurance</t>
  </si>
  <si>
    <t>insurance_type_id</t>
  </si>
  <si>
    <t>insurance_type_medicare</t>
  </si>
  <si>
    <t>insurance_type_medicaid</t>
  </si>
  <si>
    <t>insurance_type_private</t>
  </si>
  <si>
    <t>insurance_type_employer_provided</t>
  </si>
  <si>
    <t>Chill Pill</t>
  </si>
  <si>
    <t>You Can't Stop The Beat</t>
  </si>
  <si>
    <t>No More Sneezes</t>
  </si>
  <si>
    <t>Anti-Anxiety Medication</t>
  </si>
  <si>
    <t>Heart Medication</t>
  </si>
  <si>
    <t>Allergy Tablets</t>
  </si>
  <si>
    <t>Anxiety</t>
  </si>
  <si>
    <t>Heart</t>
  </si>
  <si>
    <t>Allergy</t>
  </si>
  <si>
    <t>100mg</t>
  </si>
  <si>
    <t xml:space="preserve">444 Deaths Door Lane </t>
  </si>
  <si>
    <t>patient__insurance_id</t>
  </si>
  <si>
    <t>Blanket Insurance</t>
  </si>
  <si>
    <t>Better Stay Safe</t>
  </si>
  <si>
    <t>patient_first_name</t>
  </si>
  <si>
    <t>patient_last_name</t>
  </si>
  <si>
    <t>Anti-Acid</t>
  </si>
  <si>
    <t>Tums Up</t>
  </si>
  <si>
    <t>Stomach</t>
  </si>
  <si>
    <t>75mg</t>
  </si>
  <si>
    <t>20mg</t>
  </si>
  <si>
    <t>Lisa</t>
  </si>
  <si>
    <t>Vanderpump</t>
  </si>
  <si>
    <t>Taylor</t>
  </si>
  <si>
    <t>Armstrong</t>
  </si>
  <si>
    <t>Kim</t>
  </si>
  <si>
    <t>Richards</t>
  </si>
  <si>
    <t>Camille</t>
  </si>
  <si>
    <t>Grammer</t>
  </si>
  <si>
    <t>555 Feeling Good Way</t>
  </si>
  <si>
    <t>666 Stay Strong Ave</t>
  </si>
  <si>
    <t>777 Ambulance Road</t>
  </si>
  <si>
    <t>lisa@gmail.com</t>
  </si>
  <si>
    <t>taylor@gmail.com</t>
  </si>
  <si>
    <t>kim@gmail.com</t>
  </si>
  <si>
    <t>camille@gmail.com</t>
  </si>
  <si>
    <t>505-444-3333</t>
  </si>
  <si>
    <t>505-555-3333</t>
  </si>
  <si>
    <t>505-666-3333</t>
  </si>
  <si>
    <t>505-777-3333</t>
  </si>
  <si>
    <t>501-11-1234</t>
  </si>
  <si>
    <t>501-12-1234</t>
  </si>
  <si>
    <t>501-13-1234</t>
  </si>
  <si>
    <t>501-14-1234</t>
  </si>
  <si>
    <t>inventory_location_id</t>
  </si>
  <si>
    <t>inventory_item_cost</t>
  </si>
  <si>
    <t>order_item_count</t>
  </si>
  <si>
    <t>order_item</t>
  </si>
  <si>
    <t>pharmacy_name</t>
  </si>
  <si>
    <t>Never Generic</t>
  </si>
  <si>
    <t>No Refills</t>
  </si>
  <si>
    <t>777 Pharm Way</t>
  </si>
  <si>
    <t>888 Get Well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</si>
</sst>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im@gmail.com" TargetMode="External"/><Relationship Id="rId2" Type="http://schemas.openxmlformats.org/officeDocument/2006/relationships/hyperlink" Target="mailto:taylor@gmail.com" TargetMode="External"/><Relationship Id="rId1" Type="http://schemas.openxmlformats.org/officeDocument/2006/relationships/hyperlink" Target="mailto:lisa@gmail.com" TargetMode="External"/><Relationship Id="rId4" Type="http://schemas.openxmlformats.org/officeDocument/2006/relationships/hyperlink" Target="mailto:camil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EA93-C1C0-4D4B-8835-09AA874CBAE3}">
  <dimension ref="A1:B5"/>
  <sheetViews>
    <sheetView workbookViewId="0">
      <selection activeCell="B2" sqref="B2"/>
    </sheetView>
  </sheetViews>
  <sheetFormatPr defaultRowHeight="14.25" x14ac:dyDescent="0.45"/>
  <cols>
    <col min="1" max="1" width="11.33203125" customWidth="1"/>
    <col min="2" max="2" width="18.6640625" customWidth="1"/>
  </cols>
  <sheetData>
    <row r="1" spans="1:2" x14ac:dyDescent="0.45">
      <c r="A1" t="s">
        <v>17</v>
      </c>
      <c r="B1" t="s">
        <v>54</v>
      </c>
    </row>
    <row r="2" spans="1:2" x14ac:dyDescent="0.45">
      <c r="A2">
        <v>11</v>
      </c>
    </row>
    <row r="3" spans="1:2" x14ac:dyDescent="0.45">
      <c r="A3">
        <v>12</v>
      </c>
    </row>
    <row r="4" spans="1:2" x14ac:dyDescent="0.45">
      <c r="A4">
        <v>13</v>
      </c>
    </row>
    <row r="5" spans="1:2" x14ac:dyDescent="0.45">
      <c r="A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20B8-EDB2-4D81-9C41-5593BCEE4A10}">
  <dimension ref="A1:J9"/>
  <sheetViews>
    <sheetView workbookViewId="0">
      <selection activeCell="C24" sqref="C24"/>
    </sheetView>
  </sheetViews>
  <sheetFormatPr defaultRowHeight="14.25" x14ac:dyDescent="0.45"/>
  <cols>
    <col min="1" max="1" width="11.6640625" customWidth="1"/>
    <col min="2" max="2" width="19.19921875" bestFit="1" customWidth="1"/>
    <col min="3" max="3" width="11.6640625" customWidth="1"/>
    <col min="4" max="4" width="16.46484375" customWidth="1"/>
    <col min="5" max="5" width="10.59765625" bestFit="1" customWidth="1"/>
    <col min="6" max="6" width="16" bestFit="1" customWidth="1"/>
    <col min="7" max="7" width="18.6640625" bestFit="1" customWidth="1"/>
    <col min="8" max="8" width="15.3984375" bestFit="1" customWidth="1"/>
    <col min="9" max="9" width="8.9296875" bestFit="1" customWidth="1"/>
    <col min="10" max="10" width="8.6640625" bestFit="1" customWidth="1"/>
    <col min="11" max="12" width="11.6640625" customWidth="1"/>
  </cols>
  <sheetData>
    <row r="1" spans="1:10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43</v>
      </c>
      <c r="C2">
        <v>555</v>
      </c>
      <c r="D2" t="s">
        <v>49</v>
      </c>
      <c r="E2" t="s">
        <v>52</v>
      </c>
      <c r="F2">
        <v>20</v>
      </c>
      <c r="G2">
        <v>0</v>
      </c>
      <c r="H2">
        <v>1</v>
      </c>
      <c r="I2">
        <v>20</v>
      </c>
      <c r="J2" t="s">
        <v>49</v>
      </c>
    </row>
    <row r="3" spans="1:10" x14ac:dyDescent="0.45">
      <c r="A3">
        <v>2</v>
      </c>
      <c r="B3" t="s">
        <v>46</v>
      </c>
      <c r="C3">
        <v>556</v>
      </c>
      <c r="D3" t="s">
        <v>49</v>
      </c>
      <c r="E3" t="s">
        <v>52</v>
      </c>
      <c r="F3">
        <v>20</v>
      </c>
      <c r="G3">
        <v>1</v>
      </c>
      <c r="H3">
        <v>1</v>
      </c>
      <c r="I3">
        <v>18</v>
      </c>
      <c r="J3" t="s">
        <v>49</v>
      </c>
    </row>
    <row r="4" spans="1:10" x14ac:dyDescent="0.45">
      <c r="A4">
        <v>3</v>
      </c>
      <c r="B4" t="s">
        <v>44</v>
      </c>
      <c r="C4">
        <v>557</v>
      </c>
      <c r="D4" t="s">
        <v>50</v>
      </c>
      <c r="E4" t="s">
        <v>63</v>
      </c>
      <c r="F4">
        <v>30</v>
      </c>
      <c r="G4">
        <v>0</v>
      </c>
      <c r="H4">
        <v>0</v>
      </c>
      <c r="I4">
        <v>55</v>
      </c>
      <c r="J4" t="s">
        <v>50</v>
      </c>
    </row>
    <row r="5" spans="1:10" x14ac:dyDescent="0.45">
      <c r="A5">
        <v>4</v>
      </c>
      <c r="B5" t="s">
        <v>47</v>
      </c>
      <c r="C5">
        <v>558</v>
      </c>
      <c r="D5" t="s">
        <v>50</v>
      </c>
      <c r="E5" t="s">
        <v>63</v>
      </c>
      <c r="F5">
        <v>30</v>
      </c>
      <c r="G5">
        <v>1</v>
      </c>
      <c r="H5">
        <v>0</v>
      </c>
      <c r="I5">
        <v>35</v>
      </c>
      <c r="J5" t="s">
        <v>50</v>
      </c>
    </row>
    <row r="6" spans="1:10" x14ac:dyDescent="0.45">
      <c r="A6">
        <v>5</v>
      </c>
      <c r="B6" t="s">
        <v>45</v>
      </c>
      <c r="C6">
        <v>559</v>
      </c>
      <c r="D6" t="s">
        <v>51</v>
      </c>
      <c r="E6" t="s">
        <v>52</v>
      </c>
      <c r="F6">
        <v>12</v>
      </c>
      <c r="G6">
        <v>0</v>
      </c>
      <c r="H6">
        <v>1</v>
      </c>
      <c r="I6">
        <v>12</v>
      </c>
      <c r="J6" t="s">
        <v>51</v>
      </c>
    </row>
    <row r="7" spans="1:10" x14ac:dyDescent="0.45">
      <c r="A7">
        <v>6</v>
      </c>
      <c r="B7" t="s">
        <v>48</v>
      </c>
      <c r="C7">
        <v>560</v>
      </c>
      <c r="D7" t="s">
        <v>51</v>
      </c>
      <c r="E7" t="s">
        <v>52</v>
      </c>
      <c r="F7">
        <v>12</v>
      </c>
      <c r="G7">
        <v>1</v>
      </c>
      <c r="H7">
        <v>1</v>
      </c>
      <c r="I7">
        <v>9</v>
      </c>
      <c r="J7" t="s">
        <v>51</v>
      </c>
    </row>
    <row r="8" spans="1:10" x14ac:dyDescent="0.45">
      <c r="A8">
        <v>7</v>
      </c>
      <c r="B8" t="s">
        <v>60</v>
      </c>
      <c r="C8">
        <v>561</v>
      </c>
      <c r="D8" t="s">
        <v>61</v>
      </c>
      <c r="E8" t="s">
        <v>62</v>
      </c>
      <c r="F8">
        <v>60</v>
      </c>
      <c r="G8">
        <v>0</v>
      </c>
      <c r="H8">
        <v>1</v>
      </c>
      <c r="I8">
        <v>22</v>
      </c>
      <c r="J8" t="s">
        <v>61</v>
      </c>
    </row>
    <row r="9" spans="1:10" x14ac:dyDescent="0.45">
      <c r="A9">
        <v>8</v>
      </c>
      <c r="B9" t="s">
        <v>59</v>
      </c>
      <c r="C9">
        <v>562</v>
      </c>
      <c r="D9" t="s">
        <v>61</v>
      </c>
      <c r="E9" t="s">
        <v>62</v>
      </c>
      <c r="F9">
        <v>60</v>
      </c>
      <c r="G9">
        <v>1</v>
      </c>
      <c r="H9">
        <v>1</v>
      </c>
      <c r="I9">
        <v>18</v>
      </c>
      <c r="J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62ED-E102-4D52-8324-5D5CE6F1B521}">
  <dimension ref="A1:I5"/>
  <sheetViews>
    <sheetView workbookViewId="0">
      <selection activeCell="A2" sqref="A2:A5"/>
    </sheetView>
  </sheetViews>
  <sheetFormatPr defaultRowHeight="14.25" x14ac:dyDescent="0.45"/>
  <cols>
    <col min="1" max="1" width="11.33203125" customWidth="1"/>
    <col min="2" max="2" width="15.3984375" bestFit="1" customWidth="1"/>
    <col min="3" max="3" width="15.3984375" customWidth="1"/>
    <col min="4" max="4" width="21.73046875" customWidth="1"/>
    <col min="5" max="5" width="18.6640625" customWidth="1"/>
    <col min="6" max="6" width="11.33203125" customWidth="1"/>
    <col min="7" max="7" width="16.33203125" bestFit="1" customWidth="1"/>
    <col min="8" max="8" width="19" bestFit="1" customWidth="1"/>
    <col min="9" max="9" width="11.33203125" customWidth="1"/>
  </cols>
  <sheetData>
    <row r="1" spans="1:9" x14ac:dyDescent="0.45">
      <c r="A1" t="s">
        <v>17</v>
      </c>
      <c r="B1" t="s">
        <v>57</v>
      </c>
      <c r="C1" t="s">
        <v>58</v>
      </c>
      <c r="D1" t="s">
        <v>18</v>
      </c>
      <c r="E1" t="s">
        <v>54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45">
      <c r="A2">
        <v>11</v>
      </c>
      <c r="B2" t="s">
        <v>64</v>
      </c>
      <c r="C2" t="s">
        <v>65</v>
      </c>
      <c r="D2" t="s">
        <v>53</v>
      </c>
      <c r="F2" s="1">
        <v>36261</v>
      </c>
      <c r="G2" s="2" t="s">
        <v>75</v>
      </c>
      <c r="H2" t="s">
        <v>79</v>
      </c>
      <c r="I2" t="s">
        <v>83</v>
      </c>
    </row>
    <row r="3" spans="1:9" x14ac:dyDescent="0.45">
      <c r="A3">
        <v>12</v>
      </c>
      <c r="B3" t="s">
        <v>66</v>
      </c>
      <c r="C3" t="s">
        <v>67</v>
      </c>
      <c r="D3" t="s">
        <v>72</v>
      </c>
      <c r="F3" s="1">
        <v>28257</v>
      </c>
      <c r="G3" s="2" t="s">
        <v>76</v>
      </c>
      <c r="H3" t="s">
        <v>80</v>
      </c>
      <c r="I3" t="s">
        <v>84</v>
      </c>
    </row>
    <row r="4" spans="1:9" x14ac:dyDescent="0.45">
      <c r="A4">
        <v>13</v>
      </c>
      <c r="B4" t="s">
        <v>68</v>
      </c>
      <c r="C4" t="s">
        <v>69</v>
      </c>
      <c r="D4" t="s">
        <v>73</v>
      </c>
      <c r="F4" s="1">
        <v>37420</v>
      </c>
      <c r="G4" s="2" t="s">
        <v>77</v>
      </c>
      <c r="H4" t="s">
        <v>81</v>
      </c>
      <c r="I4" t="s">
        <v>85</v>
      </c>
    </row>
    <row r="5" spans="1:9" x14ac:dyDescent="0.45">
      <c r="A5">
        <v>14</v>
      </c>
      <c r="B5" t="s">
        <v>70</v>
      </c>
      <c r="C5" t="s">
        <v>71</v>
      </c>
      <c r="D5" t="s">
        <v>74</v>
      </c>
      <c r="F5" s="1">
        <v>33433</v>
      </c>
      <c r="G5" s="2" t="s">
        <v>78</v>
      </c>
      <c r="H5" t="s">
        <v>82</v>
      </c>
      <c r="I5" t="s">
        <v>86</v>
      </c>
    </row>
  </sheetData>
  <hyperlinks>
    <hyperlink ref="G2" r:id="rId1" xr:uid="{A5CAE338-F418-4AF0-BA4D-64BAAC1F9983}"/>
    <hyperlink ref="G3" r:id="rId2" xr:uid="{95333294-1523-4BE5-8331-BEBA8EC1B917}"/>
    <hyperlink ref="G4" r:id="rId3" xr:uid="{9BD8CE9A-CE7E-494D-BD62-899AEB7248E7}"/>
    <hyperlink ref="G5" r:id="rId4" xr:uid="{58D58835-AD63-450B-AFE2-FF1B240050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CB2D-9EF2-4405-B2A8-A0BCCBDEDD9A}">
  <dimension ref="A1:G3"/>
  <sheetViews>
    <sheetView workbookViewId="0">
      <selection sqref="A1:B3"/>
    </sheetView>
  </sheetViews>
  <sheetFormatPr defaultRowHeight="14.25" x14ac:dyDescent="0.45"/>
  <cols>
    <col min="1" max="1" width="17.53125" customWidth="1"/>
    <col min="2" max="2" width="14.73046875" bestFit="1" customWidth="1"/>
    <col min="3" max="3" width="12.59765625" bestFit="1" customWidth="1"/>
    <col min="4" max="4" width="14" bestFit="1" customWidth="1"/>
    <col min="5" max="5" width="23.33203125" bestFit="1" customWidth="1"/>
    <col min="6" max="6" width="23.59765625" bestFit="1" customWidth="1"/>
    <col min="7" max="7" width="31.59765625" bestFit="1" customWidth="1"/>
    <col min="8" max="15" width="17.53125" customWidth="1"/>
  </cols>
  <sheetData>
    <row r="1" spans="1:7" x14ac:dyDescent="0.45">
      <c r="A1" t="s">
        <v>27</v>
      </c>
      <c r="B1" t="s">
        <v>26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45">
      <c r="A2">
        <v>21</v>
      </c>
      <c r="B2" t="s">
        <v>55</v>
      </c>
    </row>
    <row r="3" spans="1:7" x14ac:dyDescent="0.45">
      <c r="A3">
        <v>22</v>
      </c>
      <c r="B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8FC-774A-46CC-AC35-251E00051F39}">
  <dimension ref="A1:E3"/>
  <sheetViews>
    <sheetView workbookViewId="0">
      <selection activeCell="E3" sqref="E3"/>
    </sheetView>
  </sheetViews>
  <sheetFormatPr defaultRowHeight="14.25" x14ac:dyDescent="0.45"/>
  <cols>
    <col min="1" max="1" width="10.73046875" bestFit="1" customWidth="1"/>
    <col min="2" max="2" width="22.73046875" bestFit="1" customWidth="1"/>
    <col min="3" max="3" width="22.73046875" customWidth="1"/>
    <col min="4" max="4" width="22.86328125" bestFit="1" customWidth="1"/>
    <col min="5" max="5" width="25.33203125" bestFit="1" customWidth="1"/>
  </cols>
  <sheetData>
    <row r="1" spans="1:5" x14ac:dyDescent="0.45">
      <c r="A1" t="s">
        <v>29</v>
      </c>
      <c r="B1" t="s">
        <v>35</v>
      </c>
      <c r="C1" t="s">
        <v>91</v>
      </c>
      <c r="D1" t="s">
        <v>36</v>
      </c>
      <c r="E1" t="s">
        <v>37</v>
      </c>
    </row>
    <row r="2" spans="1:5" x14ac:dyDescent="0.45">
      <c r="A2">
        <v>31</v>
      </c>
      <c r="B2">
        <v>1</v>
      </c>
      <c r="C2" t="s">
        <v>92</v>
      </c>
      <c r="D2" t="s">
        <v>94</v>
      </c>
    </row>
    <row r="3" spans="1:5" x14ac:dyDescent="0.45">
      <c r="A3">
        <v>32</v>
      </c>
      <c r="B3">
        <v>2</v>
      </c>
      <c r="C3" t="s">
        <v>93</v>
      </c>
      <c r="D3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CE6D-D01C-4905-A46F-57E7A9EE5C9C}">
  <dimension ref="A1:G17"/>
  <sheetViews>
    <sheetView workbookViewId="0">
      <selection activeCell="D13" sqref="D13"/>
    </sheetView>
  </sheetViews>
  <sheetFormatPr defaultRowHeight="14.25" x14ac:dyDescent="0.45"/>
  <cols>
    <col min="1" max="1" width="16.265625" customWidth="1"/>
    <col min="2" max="5" width="17.9296875" customWidth="1"/>
    <col min="6" max="6" width="23.6640625" bestFit="1" customWidth="1"/>
    <col min="7" max="7" width="17.9296875" customWidth="1"/>
  </cols>
  <sheetData>
    <row r="1" spans="1:7" x14ac:dyDescent="0.45">
      <c r="A1" t="s">
        <v>29</v>
      </c>
      <c r="B1" t="s">
        <v>1</v>
      </c>
      <c r="C1" t="s">
        <v>87</v>
      </c>
      <c r="D1" t="s">
        <v>23</v>
      </c>
      <c r="E1" t="s">
        <v>88</v>
      </c>
      <c r="F1" t="s">
        <v>24</v>
      </c>
      <c r="G1" t="s">
        <v>25</v>
      </c>
    </row>
    <row r="2" spans="1:7" x14ac:dyDescent="0.45">
      <c r="A2">
        <v>31</v>
      </c>
      <c r="B2">
        <v>1</v>
      </c>
      <c r="C2">
        <v>41</v>
      </c>
      <c r="D2">
        <f ca="1">RANDBETWEEN(1,100)</f>
        <v>41</v>
      </c>
      <c r="E2">
        <v>17</v>
      </c>
      <c r="F2">
        <v>0</v>
      </c>
      <c r="G2" s="1">
        <v>46013</v>
      </c>
    </row>
    <row r="3" spans="1:7" x14ac:dyDescent="0.45">
      <c r="A3">
        <v>31</v>
      </c>
      <c r="B3">
        <v>2</v>
      </c>
      <c r="C3">
        <f>C2+1</f>
        <v>42</v>
      </c>
      <c r="D3">
        <f ca="1">RANDBETWEEN(1,50)</f>
        <v>6</v>
      </c>
      <c r="E3">
        <v>15</v>
      </c>
      <c r="F3">
        <v>1</v>
      </c>
      <c r="G3" s="1">
        <v>46013</v>
      </c>
    </row>
    <row r="4" spans="1:7" x14ac:dyDescent="0.45">
      <c r="A4">
        <v>31</v>
      </c>
      <c r="B4">
        <v>3</v>
      </c>
      <c r="C4">
        <f t="shared" ref="C4:C17" si="0">C3+1</f>
        <v>43</v>
      </c>
      <c r="D4">
        <f t="shared" ref="D4:D17" ca="1" si="1">RANDBETWEEN(1,50)</f>
        <v>6</v>
      </c>
      <c r="E4">
        <v>52</v>
      </c>
      <c r="F4">
        <v>0</v>
      </c>
      <c r="G4" s="1">
        <v>46013</v>
      </c>
    </row>
    <row r="5" spans="1:7" x14ac:dyDescent="0.45">
      <c r="A5">
        <v>31</v>
      </c>
      <c r="B5">
        <v>4</v>
      </c>
      <c r="C5">
        <f t="shared" si="0"/>
        <v>44</v>
      </c>
      <c r="D5">
        <f t="shared" ca="1" si="1"/>
        <v>31</v>
      </c>
      <c r="E5">
        <v>32</v>
      </c>
      <c r="F5">
        <v>1</v>
      </c>
      <c r="G5" s="1">
        <v>46013</v>
      </c>
    </row>
    <row r="6" spans="1:7" x14ac:dyDescent="0.45">
      <c r="A6">
        <v>31</v>
      </c>
      <c r="B6">
        <v>5</v>
      </c>
      <c r="C6">
        <f t="shared" si="0"/>
        <v>45</v>
      </c>
      <c r="D6">
        <f t="shared" ca="1" si="1"/>
        <v>25</v>
      </c>
      <c r="E6">
        <v>9</v>
      </c>
      <c r="F6">
        <v>1</v>
      </c>
      <c r="G6" s="1">
        <v>46013</v>
      </c>
    </row>
    <row r="7" spans="1:7" x14ac:dyDescent="0.45">
      <c r="A7">
        <v>31</v>
      </c>
      <c r="B7">
        <v>6</v>
      </c>
      <c r="C7">
        <f t="shared" si="0"/>
        <v>46</v>
      </c>
      <c r="D7">
        <f t="shared" ca="1" si="1"/>
        <v>20</v>
      </c>
      <c r="E7">
        <v>6</v>
      </c>
      <c r="F7">
        <v>1</v>
      </c>
      <c r="G7" s="1">
        <v>46013</v>
      </c>
    </row>
    <row r="8" spans="1:7" x14ac:dyDescent="0.45">
      <c r="A8">
        <v>31</v>
      </c>
      <c r="B8">
        <v>7</v>
      </c>
      <c r="C8">
        <f t="shared" si="0"/>
        <v>47</v>
      </c>
      <c r="D8">
        <f t="shared" ca="1" si="1"/>
        <v>43</v>
      </c>
      <c r="E8">
        <v>19</v>
      </c>
      <c r="F8">
        <v>1</v>
      </c>
      <c r="G8" s="1">
        <v>46013</v>
      </c>
    </row>
    <row r="9" spans="1:7" x14ac:dyDescent="0.45">
      <c r="A9">
        <v>31</v>
      </c>
      <c r="B9">
        <v>8</v>
      </c>
      <c r="C9">
        <f t="shared" si="0"/>
        <v>48</v>
      </c>
      <c r="D9">
        <f t="shared" ca="1" si="1"/>
        <v>15</v>
      </c>
      <c r="E9">
        <v>15</v>
      </c>
      <c r="F9">
        <v>1</v>
      </c>
      <c r="G9" s="1">
        <v>46013</v>
      </c>
    </row>
    <row r="10" spans="1:7" x14ac:dyDescent="0.45">
      <c r="A10">
        <v>32</v>
      </c>
      <c r="B10">
        <v>1</v>
      </c>
      <c r="C10">
        <f t="shared" si="0"/>
        <v>49</v>
      </c>
      <c r="D10">
        <f t="shared" ca="1" si="1"/>
        <v>46</v>
      </c>
      <c r="E10">
        <v>17</v>
      </c>
      <c r="F10">
        <v>0</v>
      </c>
      <c r="G10" s="1">
        <v>46013</v>
      </c>
    </row>
    <row r="11" spans="1:7" x14ac:dyDescent="0.45">
      <c r="A11">
        <v>32</v>
      </c>
      <c r="B11">
        <v>2</v>
      </c>
      <c r="C11">
        <f t="shared" si="0"/>
        <v>50</v>
      </c>
      <c r="D11">
        <f t="shared" ca="1" si="1"/>
        <v>2</v>
      </c>
      <c r="E11">
        <v>15</v>
      </c>
      <c r="F11">
        <v>1</v>
      </c>
      <c r="G11" s="1">
        <v>46013</v>
      </c>
    </row>
    <row r="12" spans="1:7" x14ac:dyDescent="0.45">
      <c r="A12">
        <v>32</v>
      </c>
      <c r="B12">
        <v>3</v>
      </c>
      <c r="C12">
        <f t="shared" si="0"/>
        <v>51</v>
      </c>
      <c r="D12">
        <f t="shared" ca="1" si="1"/>
        <v>16</v>
      </c>
      <c r="E12">
        <v>52</v>
      </c>
      <c r="F12">
        <v>0</v>
      </c>
      <c r="G12" s="1">
        <v>46013</v>
      </c>
    </row>
    <row r="13" spans="1:7" x14ac:dyDescent="0.45">
      <c r="A13">
        <v>32</v>
      </c>
      <c r="B13">
        <v>4</v>
      </c>
      <c r="C13">
        <f t="shared" si="0"/>
        <v>52</v>
      </c>
      <c r="D13">
        <f t="shared" ca="1" si="1"/>
        <v>1</v>
      </c>
      <c r="E13">
        <v>32</v>
      </c>
      <c r="F13">
        <v>1</v>
      </c>
      <c r="G13" s="1">
        <v>46013</v>
      </c>
    </row>
    <row r="14" spans="1:7" x14ac:dyDescent="0.45">
      <c r="A14">
        <v>32</v>
      </c>
      <c r="B14">
        <v>5</v>
      </c>
      <c r="C14">
        <f t="shared" si="0"/>
        <v>53</v>
      </c>
      <c r="D14">
        <f t="shared" ca="1" si="1"/>
        <v>7</v>
      </c>
      <c r="E14">
        <v>9</v>
      </c>
      <c r="F14">
        <v>1</v>
      </c>
      <c r="G14" s="1">
        <v>46013</v>
      </c>
    </row>
    <row r="15" spans="1:7" x14ac:dyDescent="0.45">
      <c r="A15">
        <v>32</v>
      </c>
      <c r="B15">
        <v>6</v>
      </c>
      <c r="C15">
        <f t="shared" si="0"/>
        <v>54</v>
      </c>
      <c r="D15">
        <f t="shared" ca="1" si="1"/>
        <v>5</v>
      </c>
      <c r="E15">
        <v>6</v>
      </c>
      <c r="F15">
        <v>1</v>
      </c>
      <c r="G15" s="1">
        <v>46013</v>
      </c>
    </row>
    <row r="16" spans="1:7" x14ac:dyDescent="0.45">
      <c r="A16">
        <v>32</v>
      </c>
      <c r="B16">
        <v>7</v>
      </c>
      <c r="C16">
        <f t="shared" si="0"/>
        <v>55</v>
      </c>
      <c r="D16">
        <f t="shared" ca="1" si="1"/>
        <v>35</v>
      </c>
      <c r="E16">
        <v>19</v>
      </c>
      <c r="F16">
        <v>1</v>
      </c>
      <c r="G16" s="1">
        <v>46013</v>
      </c>
    </row>
    <row r="17" spans="1:7" x14ac:dyDescent="0.45">
      <c r="A17">
        <v>32</v>
      </c>
      <c r="B17">
        <v>8</v>
      </c>
      <c r="C17">
        <f t="shared" si="0"/>
        <v>56</v>
      </c>
      <c r="D17">
        <f t="shared" ca="1" si="1"/>
        <v>20</v>
      </c>
      <c r="E17">
        <v>15</v>
      </c>
      <c r="F17">
        <v>1</v>
      </c>
      <c r="G17" s="1">
        <v>46013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C364-7F31-4956-BB8E-6F1DE31038B3}">
  <dimension ref="A1:H6"/>
  <sheetViews>
    <sheetView workbookViewId="0">
      <selection activeCell="G12" sqref="G12"/>
    </sheetView>
  </sheetViews>
  <sheetFormatPr defaultRowHeight="14.25" x14ac:dyDescent="0.45"/>
  <cols>
    <col min="1" max="1" width="20.3984375" bestFit="1" customWidth="1"/>
    <col min="2" max="2" width="20.3984375" customWidth="1"/>
    <col min="3" max="3" width="13.86328125" bestFit="1" customWidth="1"/>
    <col min="4" max="4" width="18.1328125" bestFit="1" customWidth="1"/>
    <col min="5" max="5" width="11.796875" bestFit="1" customWidth="1"/>
  </cols>
  <sheetData>
    <row r="1" spans="1:8" x14ac:dyDescent="0.45">
      <c r="A1" t="s">
        <v>10</v>
      </c>
      <c r="B1" t="s">
        <v>89</v>
      </c>
      <c r="C1" t="s">
        <v>11</v>
      </c>
      <c r="D1" t="s">
        <v>12</v>
      </c>
      <c r="E1" t="s">
        <v>16</v>
      </c>
      <c r="F1" t="s">
        <v>17</v>
      </c>
      <c r="G1" t="s">
        <v>27</v>
      </c>
      <c r="H1" t="s">
        <v>29</v>
      </c>
    </row>
    <row r="2" spans="1:8" x14ac:dyDescent="0.45">
      <c r="A2">
        <v>51</v>
      </c>
      <c r="B2">
        <v>3</v>
      </c>
      <c r="C2" s="1">
        <v>45427</v>
      </c>
      <c r="D2">
        <v>1</v>
      </c>
      <c r="F2">
        <v>11</v>
      </c>
      <c r="H2">
        <v>31</v>
      </c>
    </row>
    <row r="3" spans="1:8" x14ac:dyDescent="0.45">
      <c r="A3">
        <v>52</v>
      </c>
      <c r="B3">
        <v>1</v>
      </c>
      <c r="C3" s="1">
        <v>45427</v>
      </c>
      <c r="D3">
        <v>0</v>
      </c>
      <c r="F3">
        <v>12</v>
      </c>
      <c r="H3">
        <v>31</v>
      </c>
    </row>
    <row r="4" spans="1:8" x14ac:dyDescent="0.45">
      <c r="A4">
        <v>53</v>
      </c>
      <c r="B4">
        <v>1</v>
      </c>
      <c r="C4" s="1">
        <v>45427</v>
      </c>
      <c r="D4">
        <v>0</v>
      </c>
      <c r="F4">
        <v>13</v>
      </c>
      <c r="H4">
        <v>31</v>
      </c>
    </row>
    <row r="5" spans="1:8" x14ac:dyDescent="0.45">
      <c r="A5">
        <v>54</v>
      </c>
      <c r="B5">
        <v>1</v>
      </c>
      <c r="C5" s="1">
        <v>45427</v>
      </c>
      <c r="D5">
        <v>1</v>
      </c>
      <c r="F5">
        <v>14</v>
      </c>
      <c r="H5">
        <v>31</v>
      </c>
    </row>
    <row r="6" spans="1:8" x14ac:dyDescent="0.45">
      <c r="A6">
        <v>55</v>
      </c>
      <c r="B6">
        <v>4</v>
      </c>
      <c r="C6" s="1">
        <v>45428</v>
      </c>
      <c r="D6">
        <v>1</v>
      </c>
      <c r="F6">
        <v>11</v>
      </c>
      <c r="H6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DF75-3344-458C-8E7B-A3E982C34F19}">
  <dimension ref="A1:K31"/>
  <sheetViews>
    <sheetView workbookViewId="0">
      <selection activeCell="D1" sqref="D1"/>
    </sheetView>
  </sheetViews>
  <sheetFormatPr defaultRowHeight="14.25" x14ac:dyDescent="0.45"/>
  <cols>
    <col min="1" max="1" width="20.3984375" bestFit="1" customWidth="1"/>
    <col min="2" max="2" width="20.3984375" customWidth="1"/>
    <col min="3" max="3" width="18.1328125" bestFit="1" customWidth="1"/>
    <col min="4" max="4" width="13.9296875" bestFit="1" customWidth="1"/>
    <col min="5" max="5" width="16.46484375" bestFit="1" customWidth="1"/>
    <col min="7" max="7" width="11.796875" bestFit="1" customWidth="1"/>
    <col min="10" max="10" width="18.33203125" customWidth="1"/>
    <col min="11" max="11" width="10.73046875" bestFit="1" customWidth="1"/>
  </cols>
  <sheetData>
    <row r="1" spans="1:11" x14ac:dyDescent="0.45">
      <c r="A1" t="s">
        <v>10</v>
      </c>
      <c r="B1" t="s">
        <v>90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</v>
      </c>
      <c r="J1" t="s">
        <v>28</v>
      </c>
      <c r="K1" t="s">
        <v>27</v>
      </c>
    </row>
    <row r="2" spans="1:11" x14ac:dyDescent="0.45">
      <c r="A2">
        <v>51</v>
      </c>
      <c r="B2">
        <v>1</v>
      </c>
      <c r="E2">
        <v>1</v>
      </c>
      <c r="H2">
        <v>11</v>
      </c>
      <c r="I2">
        <v>1</v>
      </c>
      <c r="J2">
        <v>61</v>
      </c>
      <c r="K2">
        <v>21</v>
      </c>
    </row>
    <row r="3" spans="1:11" x14ac:dyDescent="0.45">
      <c r="A3">
        <v>51</v>
      </c>
      <c r="B3">
        <v>2</v>
      </c>
      <c r="E3">
        <v>1</v>
      </c>
      <c r="H3">
        <v>11</v>
      </c>
      <c r="I3">
        <v>3</v>
      </c>
      <c r="J3">
        <v>62</v>
      </c>
      <c r="K3">
        <v>21</v>
      </c>
    </row>
    <row r="4" spans="1:11" x14ac:dyDescent="0.45">
      <c r="A4">
        <v>51</v>
      </c>
      <c r="B4">
        <v>3</v>
      </c>
      <c r="E4">
        <v>1</v>
      </c>
      <c r="H4">
        <v>11</v>
      </c>
      <c r="I4">
        <v>7</v>
      </c>
      <c r="J4">
        <v>63</v>
      </c>
      <c r="K4">
        <v>21</v>
      </c>
    </row>
    <row r="5" spans="1:11" x14ac:dyDescent="0.45">
      <c r="A5">
        <v>52</v>
      </c>
      <c r="B5">
        <v>1</v>
      </c>
      <c r="E5">
        <v>1</v>
      </c>
      <c r="H5">
        <v>12</v>
      </c>
      <c r="I5">
        <v>4</v>
      </c>
      <c r="J5">
        <v>64</v>
      </c>
      <c r="K5">
        <v>22</v>
      </c>
    </row>
    <row r="6" spans="1:11" x14ac:dyDescent="0.45">
      <c r="A6">
        <v>53</v>
      </c>
      <c r="B6">
        <v>1</v>
      </c>
      <c r="E6">
        <v>1</v>
      </c>
      <c r="H6">
        <v>13</v>
      </c>
      <c r="I6">
        <v>6</v>
      </c>
      <c r="J6">
        <v>65</v>
      </c>
      <c r="K6">
        <v>22</v>
      </c>
    </row>
    <row r="7" spans="1:11" x14ac:dyDescent="0.45">
      <c r="A7">
        <v>54</v>
      </c>
      <c r="B7">
        <v>1</v>
      </c>
      <c r="E7">
        <v>1</v>
      </c>
      <c r="H7">
        <v>14</v>
      </c>
      <c r="I7">
        <v>1</v>
      </c>
      <c r="J7">
        <v>66</v>
      </c>
      <c r="K7">
        <v>21</v>
      </c>
    </row>
    <row r="8" spans="1:11" x14ac:dyDescent="0.45">
      <c r="A8">
        <v>55</v>
      </c>
      <c r="B8">
        <v>1</v>
      </c>
      <c r="E8">
        <v>1</v>
      </c>
      <c r="H8">
        <v>11</v>
      </c>
      <c r="I8">
        <v>1</v>
      </c>
      <c r="J8">
        <v>67</v>
      </c>
      <c r="K8">
        <v>21</v>
      </c>
    </row>
    <row r="9" spans="1:11" x14ac:dyDescent="0.45">
      <c r="A9">
        <v>55</v>
      </c>
      <c r="B9">
        <v>2</v>
      </c>
      <c r="E9">
        <v>1</v>
      </c>
      <c r="H9">
        <v>11</v>
      </c>
      <c r="I9">
        <v>5</v>
      </c>
      <c r="J9">
        <v>68</v>
      </c>
      <c r="K9">
        <v>21</v>
      </c>
    </row>
    <row r="10" spans="1:11" x14ac:dyDescent="0.45">
      <c r="A10">
        <v>55</v>
      </c>
      <c r="B10">
        <v>3</v>
      </c>
      <c r="E10">
        <v>1</v>
      </c>
      <c r="H10">
        <v>11</v>
      </c>
      <c r="I10">
        <v>3</v>
      </c>
      <c r="J10">
        <v>69</v>
      </c>
      <c r="K10">
        <v>21</v>
      </c>
    </row>
    <row r="11" spans="1:11" x14ac:dyDescent="0.45">
      <c r="A11">
        <v>55</v>
      </c>
      <c r="B11">
        <v>4</v>
      </c>
      <c r="E11">
        <v>1</v>
      </c>
      <c r="H11">
        <v>11</v>
      </c>
      <c r="I11">
        <v>7</v>
      </c>
      <c r="J11">
        <v>70</v>
      </c>
      <c r="K11">
        <v>21</v>
      </c>
    </row>
    <row r="28" spans="7:7" x14ac:dyDescent="0.45">
      <c r="G28" s="1"/>
    </row>
    <row r="29" spans="7:7" x14ac:dyDescent="0.45">
      <c r="G29" s="1"/>
    </row>
    <row r="30" spans="7:7" x14ac:dyDescent="0.45">
      <c r="G30" s="1"/>
    </row>
    <row r="31" spans="7:7" x14ac:dyDescent="0.45">
      <c r="G3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89C9-A387-4774-9804-9F5C212DEFB5}">
  <dimension ref="A1:E1"/>
  <sheetViews>
    <sheetView tabSelected="1" workbookViewId="0">
      <selection activeCell="C11" sqref="C11"/>
    </sheetView>
  </sheetViews>
  <sheetFormatPr defaultRowHeight="14.25" x14ac:dyDescent="0.45"/>
  <cols>
    <col min="1" max="6" width="24.1328125" customWidth="1"/>
  </cols>
  <sheetData>
    <row r="1" spans="1:5" x14ac:dyDescent="0.45">
      <c r="A1" t="s">
        <v>38</v>
      </c>
      <c r="B1" t="s">
        <v>39</v>
      </c>
      <c r="C1" t="s">
        <v>40</v>
      </c>
      <c r="D1" t="s">
        <v>41</v>
      </c>
      <c r="E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Insurance</vt:lpstr>
      <vt:lpstr>Drug</vt:lpstr>
      <vt:lpstr>Patient</vt:lpstr>
      <vt:lpstr>Insurance</vt:lpstr>
      <vt:lpstr>Pharmacy</vt:lpstr>
      <vt:lpstr>Inventory</vt:lpstr>
      <vt:lpstr>Order</vt:lpstr>
      <vt:lpstr>Order Detail</vt:lpstr>
      <vt:lpstr>Insurance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Haase</dc:creator>
  <cp:lastModifiedBy>Erika Haase</cp:lastModifiedBy>
  <dcterms:created xsi:type="dcterms:W3CDTF">2024-05-17T01:10:36Z</dcterms:created>
  <dcterms:modified xsi:type="dcterms:W3CDTF">2024-05-17T02:12:35Z</dcterms:modified>
</cp:coreProperties>
</file>